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color rgb="000B5394"/>
      <sz val="14"/>
    </font>
    <font>
      <i val="1"/>
      <sz val="10"/>
    </font>
    <font>
      <b val="1"/>
      <color rgb="00FFFFFF"/>
      <sz val="11"/>
    </font>
    <font>
      <b val="1"/>
      <color rgb="000B5394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2" customWidth="1" min="4" max="4"/>
    <col width="30" customWidth="1" min="5" max="5"/>
    <col width="15" customWidth="1" min="6" max="6"/>
    <col width="10" customWidth="1" min="7" max="7"/>
    <col width="25" customWidth="1" min="8" max="8"/>
  </cols>
  <sheetData>
    <row r="1">
      <c r="A1" s="1" t="inlineStr">
        <is>
          <t>MISSION PLANNER vs YOUR CUSTOM GCS - Implementation Tracker</t>
        </is>
      </c>
    </row>
    <row r="2">
      <c r="A2" s="2" t="inlineStr">
        <is>
          <t>Instructions: Check ✓ when component is implemented in YOUR GCS. Compare with Mission Planner reference.</t>
        </is>
      </c>
    </row>
    <row r="4">
      <c r="A4" s="3" t="inlineStr">
        <is>
          <t>Component</t>
        </is>
      </c>
      <c r="B4" s="3" t="inlineStr">
        <is>
          <t>Mission Planner</t>
        </is>
      </c>
      <c r="C4" s="3" t="inlineStr">
        <is>
          <t>Your GCS Status</t>
        </is>
      </c>
      <c r="D4" s="3" t="inlineStr">
        <is>
          <t>Priority</t>
        </is>
      </c>
      <c r="E4" s="3" t="inlineStr">
        <is>
          <t>Notes</t>
        </is>
      </c>
      <c r="F4" s="3" t="inlineStr">
        <is>
          <t>Date Completed</t>
        </is>
      </c>
      <c r="G4" s="3" t="inlineStr">
        <is>
          <t>Tested</t>
        </is>
      </c>
      <c r="H4" s="3" t="inlineStr">
        <is>
          <t>Issues</t>
        </is>
      </c>
    </row>
    <row r="5">
      <c r="A5" s="4">
        <f>== CONNECTION ===</f>
        <v/>
      </c>
    </row>
    <row r="6">
      <c r="A6" s="5" t="inlineStr">
        <is>
          <t>COM Port Selection</t>
        </is>
      </c>
      <c r="B6" s="5" t="inlineStr">
        <is>
          <t>✓</t>
        </is>
      </c>
      <c r="C6" s="5" t="inlineStr"/>
      <c r="D6" s="5" t="inlineStr">
        <is>
          <t>Critical</t>
        </is>
      </c>
      <c r="E6" s="5" t="inlineStr"/>
      <c r="F6" s="5" t="inlineStr"/>
      <c r="G6" s="5" t="inlineStr"/>
      <c r="H6" s="5" t="inlineStr"/>
    </row>
    <row r="7">
      <c r="A7" s="5" t="inlineStr">
        <is>
          <t>Baud Rate Selector</t>
        </is>
      </c>
      <c r="B7" s="5" t="inlineStr">
        <is>
          <t>✓</t>
        </is>
      </c>
      <c r="C7" s="5" t="inlineStr"/>
      <c r="D7" s="5" t="inlineStr">
        <is>
          <t>Critical</t>
        </is>
      </c>
      <c r="E7" s="5" t="inlineStr"/>
      <c r="F7" s="5" t="inlineStr"/>
      <c r="G7" s="5" t="inlineStr"/>
      <c r="H7" s="5" t="inlineStr"/>
    </row>
    <row r="8">
      <c r="A8" s="5" t="inlineStr">
        <is>
          <t>Connect Button</t>
        </is>
      </c>
      <c r="B8" s="5" t="inlineStr">
        <is>
          <t>✓</t>
        </is>
      </c>
      <c r="C8" s="5" t="inlineStr"/>
      <c r="D8" s="5" t="inlineStr">
        <is>
          <t>Critical</t>
        </is>
      </c>
      <c r="E8" s="5" t="inlineStr"/>
      <c r="F8" s="5" t="inlineStr"/>
      <c r="G8" s="5" t="inlineStr"/>
      <c r="H8" s="5" t="inlineStr"/>
    </row>
    <row r="9">
      <c r="A9" s="5" t="inlineStr">
        <is>
          <t>Disconnect Button</t>
        </is>
      </c>
      <c r="B9" s="5" t="inlineStr">
        <is>
          <t>✓</t>
        </is>
      </c>
      <c r="C9" s="5" t="inlineStr"/>
      <c r="D9" s="5" t="inlineStr">
        <is>
          <t>Critical</t>
        </is>
      </c>
      <c r="E9" s="5" t="inlineStr"/>
      <c r="F9" s="5" t="inlineStr"/>
      <c r="G9" s="5" t="inlineStr"/>
      <c r="H9" s="5" t="inlineStr"/>
    </row>
    <row r="10">
      <c r="A10" s="5" t="inlineStr">
        <is>
          <t>Heartbeat Monitoring</t>
        </is>
      </c>
      <c r="B10" s="5" t="inlineStr">
        <is>
          <t>✓</t>
        </is>
      </c>
      <c r="C10" s="5" t="inlineStr"/>
      <c r="D10" s="5" t="inlineStr">
        <is>
          <t>Critical</t>
        </is>
      </c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4">
        <f>== HUD DISPLAY ===</f>
        <v/>
      </c>
    </row>
    <row r="13">
      <c r="A13" s="5" t="inlineStr">
        <is>
          <t>Ground Speed</t>
        </is>
      </c>
      <c r="B13" s="5" t="inlineStr">
        <is>
          <t>✓</t>
        </is>
      </c>
      <c r="C13" s="5" t="inlineStr"/>
      <c r="D13" s="5" t="inlineStr">
        <is>
          <t>Critical</t>
        </is>
      </c>
      <c r="E13" s="5" t="inlineStr">
        <is>
          <t>Large display</t>
        </is>
      </c>
      <c r="F13" s="5" t="inlineStr"/>
      <c r="G13" s="5" t="inlineStr"/>
      <c r="H13" s="5" t="inlineStr"/>
    </row>
    <row r="14">
      <c r="A14" s="5" t="inlineStr">
        <is>
          <t>Heading Compass</t>
        </is>
      </c>
      <c r="B14" s="5" t="inlineStr">
        <is>
          <t>✓</t>
        </is>
      </c>
      <c r="C14" s="5" t="inlineStr"/>
      <c r="D14" s="5" t="inlineStr">
        <is>
          <t>Critical</t>
        </is>
      </c>
      <c r="E14" s="5" t="inlineStr">
        <is>
          <t>360° rose</t>
        </is>
      </c>
      <c r="F14" s="5" t="inlineStr"/>
      <c r="G14" s="5" t="inlineStr"/>
      <c r="H14" s="5" t="inlineStr"/>
    </row>
    <row r="15">
      <c r="A15" s="5" t="inlineStr">
        <is>
          <t>GPS Status</t>
        </is>
      </c>
      <c r="B15" s="5" t="inlineStr">
        <is>
          <t>✓</t>
        </is>
      </c>
      <c r="C15" s="5" t="inlineStr"/>
      <c r="D15" s="5" t="inlineStr">
        <is>
          <t>Critical</t>
        </is>
      </c>
      <c r="E15" s="5" t="inlineStr">
        <is>
          <t>Sats + fix</t>
        </is>
      </c>
      <c r="F15" s="5" t="inlineStr"/>
      <c r="G15" s="5" t="inlineStr"/>
      <c r="H15" s="5" t="inlineStr"/>
    </row>
    <row r="16">
      <c r="A16" s="5" t="inlineStr">
        <is>
          <t>Battery Voltage</t>
        </is>
      </c>
      <c r="B16" s="5" t="inlineStr">
        <is>
          <t>✓</t>
        </is>
      </c>
      <c r="C16" s="5" t="inlineStr"/>
      <c r="D16" s="5" t="inlineStr">
        <is>
          <t>Critical</t>
        </is>
      </c>
      <c r="E16" s="5" t="inlineStr">
        <is>
          <t>V + %</t>
        </is>
      </c>
      <c r="F16" s="5" t="inlineStr"/>
      <c r="G16" s="5" t="inlineStr"/>
      <c r="H16" s="5" t="inlineStr"/>
    </row>
    <row r="17">
      <c r="A17" s="5" t="inlineStr">
        <is>
          <t>Battery Percentage</t>
        </is>
      </c>
      <c r="B17" s="5" t="inlineStr">
        <is>
          <t>✓</t>
        </is>
      </c>
      <c r="C17" s="5" t="inlineStr"/>
      <c r="D17" s="5" t="inlineStr">
        <is>
          <t>Critical</t>
        </is>
      </c>
      <c r="E17" s="5" t="inlineStr">
        <is>
          <t>Progress bar</t>
        </is>
      </c>
      <c r="F17" s="5" t="inlineStr"/>
      <c r="G17" s="5" t="inlineStr"/>
      <c r="H17" s="5" t="inlineStr"/>
    </row>
    <row r="18">
      <c r="A18" s="5" t="inlineStr">
        <is>
          <t>Armed Status</t>
        </is>
      </c>
      <c r="B18" s="5" t="inlineStr">
        <is>
          <t>✓</t>
        </is>
      </c>
      <c r="C18" s="5" t="inlineStr"/>
      <c r="D18" s="5" t="inlineStr">
        <is>
          <t>Critical</t>
        </is>
      </c>
      <c r="E18" s="5" t="inlineStr">
        <is>
          <t>Red/Green LED</t>
        </is>
      </c>
      <c r="F18" s="5" t="inlineStr"/>
      <c r="G18" s="5" t="inlineStr"/>
      <c r="H18" s="5" t="inlineStr"/>
    </row>
    <row r="19">
      <c r="A19" s="5" t="inlineStr">
        <is>
          <t>Flight Mode</t>
        </is>
      </c>
      <c r="B19" s="5" t="inlineStr">
        <is>
          <t>✓</t>
        </is>
      </c>
      <c r="C19" s="5" t="inlineStr"/>
      <c r="D19" s="5" t="inlineStr">
        <is>
          <t>Critical</t>
        </is>
      </c>
      <c r="E19" s="5" t="inlineStr">
        <is>
          <t>Large text</t>
        </is>
      </c>
      <c r="F19" s="5" t="inlineStr"/>
      <c r="G19" s="5" t="inlineStr"/>
      <c r="H19" s="5" t="inlineStr"/>
    </row>
    <row r="20">
      <c r="A20" s="5" t="inlineStr">
        <is>
          <t>Distance to Home</t>
        </is>
      </c>
      <c r="B20" s="5" t="inlineStr">
        <is>
          <t>✓</t>
        </is>
      </c>
      <c r="C20" s="5" t="inlineStr"/>
      <c r="D20" s="5" t="inlineStr">
        <is>
          <t>High</t>
        </is>
      </c>
      <c r="E20" s="5" t="inlineStr">
        <is>
          <t>In meters</t>
        </is>
      </c>
      <c r="F20" s="5" t="inlineStr"/>
      <c r="G20" s="5" t="inlineStr"/>
      <c r="H20" s="5" t="inlineStr"/>
    </row>
    <row r="21">
      <c r="A21" s="5" t="inlineStr">
        <is>
          <t>Distance to WP</t>
        </is>
      </c>
      <c r="B21" s="5" t="inlineStr">
        <is>
          <t>✓</t>
        </is>
      </c>
      <c r="C21" s="5" t="inlineStr"/>
      <c r="D21" s="5" t="inlineStr">
        <is>
          <t>High</t>
        </is>
      </c>
      <c r="E21" s="5" t="inlineStr">
        <is>
          <t>In meters</t>
        </is>
      </c>
      <c r="F21" s="5" t="inlineStr"/>
      <c r="G21" s="5" t="inlineStr"/>
      <c r="H21" s="5" t="inlineStr"/>
    </row>
    <row r="22">
      <c r="A22" s="5" t="inlineStr">
        <is>
          <t>Throttle Display</t>
        </is>
      </c>
      <c r="B22" s="5" t="inlineStr">
        <is>
          <t>✓</t>
        </is>
      </c>
      <c r="C22" s="5" t="inlineStr"/>
      <c r="D22" s="5" t="inlineStr">
        <is>
          <t>High</t>
        </is>
      </c>
      <c r="E22" s="5" t="inlineStr">
        <is>
          <t>0-100%</t>
        </is>
      </c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4">
        <f>== MAP VIEW ===</f>
        <v/>
      </c>
    </row>
    <row r="25">
      <c r="A25" s="5" t="inlineStr">
        <is>
          <t>Map Display</t>
        </is>
      </c>
      <c r="B25" s="5" t="inlineStr">
        <is>
          <t>✓</t>
        </is>
      </c>
      <c r="C25" s="5" t="inlineStr"/>
      <c r="D25" s="5" t="inlineStr">
        <is>
          <t>Critical</t>
        </is>
      </c>
      <c r="E25" s="5" t="inlineStr">
        <is>
          <t>OSM/Google</t>
        </is>
      </c>
      <c r="F25" s="5" t="inlineStr"/>
      <c r="G25" s="5" t="inlineStr"/>
      <c r="H25" s="5" t="inlineStr"/>
    </row>
    <row r="26">
      <c r="A26" s="5" t="inlineStr">
        <is>
          <t>Vehicle Marker</t>
        </is>
      </c>
      <c r="B26" s="5" t="inlineStr">
        <is>
          <t>✓</t>
        </is>
      </c>
      <c r="C26" s="5" t="inlineStr"/>
      <c r="D26" s="5" t="inlineStr">
        <is>
          <t>Critical</t>
        </is>
      </c>
      <c r="E26" s="5" t="inlineStr">
        <is>
          <t>With heading</t>
        </is>
      </c>
      <c r="F26" s="5" t="inlineStr"/>
      <c r="G26" s="5" t="inlineStr"/>
      <c r="H26" s="5" t="inlineStr"/>
    </row>
    <row r="27">
      <c r="A27" s="5" t="inlineStr">
        <is>
          <t>Home Marker</t>
        </is>
      </c>
      <c r="B27" s="5" t="inlineStr">
        <is>
          <t>✓</t>
        </is>
      </c>
      <c r="C27" s="5" t="inlineStr"/>
      <c r="D27" s="5" t="inlineStr">
        <is>
          <t>Critical</t>
        </is>
      </c>
      <c r="E27" s="5" t="inlineStr">
        <is>
          <t>H icon</t>
        </is>
      </c>
      <c r="F27" s="5" t="inlineStr"/>
      <c r="G27" s="5" t="inlineStr"/>
      <c r="H27" s="5" t="inlineStr"/>
    </row>
    <row r="28">
      <c r="A28" s="5" t="inlineStr">
        <is>
          <t>Waypoint Markers</t>
        </is>
      </c>
      <c r="B28" s="5" t="inlineStr">
        <is>
          <t>✓</t>
        </is>
      </c>
      <c r="C28" s="5" t="inlineStr"/>
      <c r="D28" s="5" t="inlineStr">
        <is>
          <t>Critical</t>
        </is>
      </c>
      <c r="E28" s="5" t="inlineStr">
        <is>
          <t>Numbered</t>
        </is>
      </c>
      <c r="F28" s="5" t="inlineStr"/>
      <c r="G28" s="5" t="inlineStr"/>
      <c r="H28" s="5" t="inlineStr"/>
    </row>
    <row r="29">
      <c r="A29" s="5" t="inlineStr">
        <is>
          <t>Vehicle Trail</t>
        </is>
      </c>
      <c r="B29" s="5" t="inlineStr">
        <is>
          <t>✓</t>
        </is>
      </c>
      <c r="C29" s="5" t="inlineStr"/>
      <c r="D29" s="5" t="inlineStr">
        <is>
          <t>High</t>
        </is>
      </c>
      <c r="E29" s="5" t="inlineStr">
        <is>
          <t>Breadcrumbs</t>
        </is>
      </c>
      <c r="F29" s="5" t="inlineStr"/>
      <c r="G29" s="5" t="inlineStr"/>
      <c r="H29" s="5" t="inlineStr"/>
    </row>
    <row r="30">
      <c r="A30" s="5" t="inlineStr">
        <is>
          <t>Zoom Controls</t>
        </is>
      </c>
      <c r="B30" s="5" t="inlineStr">
        <is>
          <t>✓</t>
        </is>
      </c>
      <c r="C30" s="5" t="inlineStr"/>
      <c r="D30" s="5" t="inlineStr">
        <is>
          <t>High</t>
        </is>
      </c>
      <c r="E30" s="5" t="inlineStr">
        <is>
          <t>+/- buttons</t>
        </is>
      </c>
      <c r="F30" s="5" t="inlineStr"/>
      <c r="G30" s="5" t="inlineStr"/>
      <c r="H30" s="5" t="inlineStr"/>
    </row>
    <row r="31">
      <c r="A31" s="5" t="inlineStr">
        <is>
          <t>Center on Vehicle</t>
        </is>
      </c>
      <c r="B31" s="5" t="inlineStr">
        <is>
          <t>✓</t>
        </is>
      </c>
      <c r="C31" s="5" t="inlineStr"/>
      <c r="D31" s="5" t="inlineStr">
        <is>
          <t>High</t>
        </is>
      </c>
      <c r="E31" s="5" t="inlineStr">
        <is>
          <t>Auto-center</t>
        </is>
      </c>
      <c r="F31" s="5" t="inlineStr"/>
      <c r="G31" s="5" t="inlineStr"/>
      <c r="H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4">
        <f>== MISSION PLANNING ===</f>
        <v/>
      </c>
    </row>
    <row r="34">
      <c r="A34" s="5" t="inlineStr">
        <is>
          <t>Waypoint List</t>
        </is>
      </c>
      <c r="B34" s="5" t="inlineStr">
        <is>
          <t>✓</t>
        </is>
      </c>
      <c r="C34" s="5" t="inlineStr"/>
      <c r="D34" s="5" t="inlineStr">
        <is>
          <t>Critical</t>
        </is>
      </c>
      <c r="E34" s="5" t="inlineStr">
        <is>
          <t>Numbered list</t>
        </is>
      </c>
      <c r="F34" s="5" t="inlineStr"/>
      <c r="G34" s="5" t="inlineStr"/>
      <c r="H34" s="5" t="inlineStr"/>
    </row>
    <row r="35">
      <c r="A35" s="5" t="inlineStr">
        <is>
          <t>Add Waypoint (Click)</t>
        </is>
      </c>
      <c r="B35" s="5" t="inlineStr">
        <is>
          <t>✓</t>
        </is>
      </c>
      <c r="C35" s="5" t="inlineStr"/>
      <c r="D35" s="5" t="inlineStr">
        <is>
          <t>Critical</t>
        </is>
      </c>
      <c r="E35" s="5" t="inlineStr">
        <is>
          <t>Map click</t>
        </is>
      </c>
      <c r="F35" s="5" t="inlineStr"/>
      <c r="G35" s="5" t="inlineStr"/>
      <c r="H35" s="5" t="inlineStr"/>
    </row>
    <row r="36">
      <c r="A36" s="5" t="inlineStr">
        <is>
          <t>Waypoint Properties</t>
        </is>
      </c>
      <c r="B36" s="5" t="inlineStr">
        <is>
          <t>✓</t>
        </is>
      </c>
      <c r="C36" s="5" t="inlineStr"/>
      <c r="D36" s="5" t="inlineStr">
        <is>
          <t>Critical</t>
        </is>
      </c>
      <c r="E36" s="5" t="inlineStr">
        <is>
          <t>Edit panel</t>
        </is>
      </c>
      <c r="F36" s="5" t="inlineStr"/>
      <c r="G36" s="5" t="inlineStr"/>
      <c r="H36" s="5" t="inlineStr"/>
    </row>
    <row r="37">
      <c r="A37" s="5" t="inlineStr">
        <is>
          <t>Load Mission File</t>
        </is>
      </c>
      <c r="B37" s="5" t="inlineStr">
        <is>
          <t>✓</t>
        </is>
      </c>
      <c r="C37" s="5" t="inlineStr"/>
      <c r="D37" s="5" t="inlineStr">
        <is>
          <t>High</t>
        </is>
      </c>
      <c r="E37" s="5" t="inlineStr">
        <is>
          <t>.waypoints</t>
        </is>
      </c>
      <c r="F37" s="5" t="inlineStr"/>
      <c r="G37" s="5" t="inlineStr"/>
      <c r="H37" s="5" t="inlineStr"/>
    </row>
    <row r="38">
      <c r="A38" s="5" t="inlineStr">
        <is>
          <t>Save Mission File</t>
        </is>
      </c>
      <c r="B38" s="5" t="inlineStr">
        <is>
          <t>✓</t>
        </is>
      </c>
      <c r="C38" s="5" t="inlineStr"/>
      <c r="D38" s="5" t="inlineStr">
        <is>
          <t>High</t>
        </is>
      </c>
      <c r="E38" s="5" t="inlineStr">
        <is>
          <t>.waypoints</t>
        </is>
      </c>
      <c r="F38" s="5" t="inlineStr"/>
      <c r="G38" s="5" t="inlineStr"/>
      <c r="H38" s="5" t="inlineStr"/>
    </row>
    <row r="39">
      <c r="A39" s="5" t="inlineStr">
        <is>
          <t>Write to Vehicle</t>
        </is>
      </c>
      <c r="B39" s="5" t="inlineStr">
        <is>
          <t>✓</t>
        </is>
      </c>
      <c r="C39" s="5" t="inlineStr"/>
      <c r="D39" s="5" t="inlineStr">
        <is>
          <t>Critical</t>
        </is>
      </c>
      <c r="E39" s="5" t="inlineStr">
        <is>
          <t>Upload</t>
        </is>
      </c>
      <c r="F39" s="5" t="inlineStr"/>
      <c r="G39" s="5" t="inlineStr"/>
      <c r="H39" s="5" t="inlineStr"/>
    </row>
    <row r="40">
      <c r="A40" s="5" t="inlineStr">
        <is>
          <t>Read from Vehicle</t>
        </is>
      </c>
      <c r="B40" s="5" t="inlineStr">
        <is>
          <t>✓</t>
        </is>
      </c>
      <c r="C40" s="5" t="inlineStr"/>
      <c r="D40" s="5" t="inlineStr">
        <is>
          <t>High</t>
        </is>
      </c>
      <c r="E40" s="5" t="inlineStr">
        <is>
          <t>Download</t>
        </is>
      </c>
      <c r="F40" s="5" t="inlineStr"/>
      <c r="G40" s="5" t="inlineStr"/>
      <c r="H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4">
        <f>== ACTION CONTROLS ===</f>
        <v/>
      </c>
    </row>
    <row r="43">
      <c r="A43" s="5" t="inlineStr">
        <is>
          <t>Mode Selector</t>
        </is>
      </c>
      <c r="B43" s="5" t="inlineStr">
        <is>
          <t>✓</t>
        </is>
      </c>
      <c r="C43" s="5" t="inlineStr"/>
      <c r="D43" s="5" t="inlineStr">
        <is>
          <t>Critical</t>
        </is>
      </c>
      <c r="E43" s="5" t="inlineStr">
        <is>
          <t>Dropdown</t>
        </is>
      </c>
      <c r="F43" s="5" t="inlineStr"/>
      <c r="G43" s="5" t="inlineStr"/>
      <c r="H43" s="5" t="inlineStr"/>
    </row>
    <row r="44">
      <c r="A44" s="5" t="inlineStr">
        <is>
          <t>Arm Button</t>
        </is>
      </c>
      <c r="B44" s="5" t="inlineStr">
        <is>
          <t>✓</t>
        </is>
      </c>
      <c r="C44" s="5" t="inlineStr"/>
      <c r="D44" s="5" t="inlineStr">
        <is>
          <t>Critical</t>
        </is>
      </c>
      <c r="E44" s="5" t="inlineStr">
        <is>
          <t>Enable motors</t>
        </is>
      </c>
      <c r="F44" s="5" t="inlineStr"/>
      <c r="G44" s="5" t="inlineStr"/>
      <c r="H44" s="5" t="inlineStr"/>
    </row>
    <row r="45">
      <c r="A45" s="5" t="inlineStr">
        <is>
          <t>Disarm Button</t>
        </is>
      </c>
      <c r="B45" s="5" t="inlineStr">
        <is>
          <t>✓</t>
        </is>
      </c>
      <c r="C45" s="5" t="inlineStr"/>
      <c r="D45" s="5" t="inlineStr">
        <is>
          <t>Critical</t>
        </is>
      </c>
      <c r="E45" s="5" t="inlineStr">
        <is>
          <t>Disable</t>
        </is>
      </c>
      <c r="F45" s="5" t="inlineStr"/>
      <c r="G45" s="5" t="inlineStr"/>
      <c r="H45" s="5" t="inlineStr"/>
    </row>
    <row r="46">
      <c r="A46" s="5" t="inlineStr">
        <is>
          <t>Auto Mode</t>
        </is>
      </c>
      <c r="B46" s="5" t="inlineStr">
        <is>
          <t>✓</t>
        </is>
      </c>
      <c r="C46" s="5" t="inlineStr"/>
      <c r="D46" s="5" t="inlineStr">
        <is>
          <t>High</t>
        </is>
      </c>
      <c r="E46" s="5" t="inlineStr">
        <is>
          <t>Execute mission</t>
        </is>
      </c>
      <c r="F46" s="5" t="inlineStr"/>
      <c r="G46" s="5" t="inlineStr"/>
      <c r="H46" s="5" t="inlineStr"/>
    </row>
    <row r="47">
      <c r="A47" s="5" t="inlineStr">
        <is>
          <t>Manual Mode</t>
        </is>
      </c>
      <c r="B47" s="5" t="inlineStr">
        <is>
          <t>✓</t>
        </is>
      </c>
      <c r="C47" s="5" t="inlineStr"/>
      <c r="D47" s="5" t="inlineStr">
        <is>
          <t>High</t>
        </is>
      </c>
      <c r="E47" s="5" t="inlineStr">
        <is>
          <t>RC control</t>
        </is>
      </c>
      <c r="F47" s="5" t="inlineStr"/>
      <c r="G47" s="5" t="inlineStr"/>
      <c r="H47" s="5" t="inlineStr"/>
    </row>
    <row r="48">
      <c r="A48" s="5" t="inlineStr">
        <is>
          <t>Hold Mode</t>
        </is>
      </c>
      <c r="B48" s="5" t="inlineStr">
        <is>
          <t>✓</t>
        </is>
      </c>
      <c r="C48" s="5" t="inlineStr"/>
      <c r="D48" s="5" t="inlineStr">
        <is>
          <t>High</t>
        </is>
      </c>
      <c r="E48" s="5" t="inlineStr">
        <is>
          <t>Stop position</t>
        </is>
      </c>
      <c r="F48" s="5" t="inlineStr"/>
      <c r="G48" s="5" t="inlineStr"/>
      <c r="H48" s="5" t="inlineStr"/>
    </row>
    <row r="49">
      <c r="A49" s="5" t="inlineStr">
        <is>
          <t>Guided Mode</t>
        </is>
      </c>
      <c r="B49" s="5" t="inlineStr">
        <is>
          <t>✓</t>
        </is>
      </c>
      <c r="C49" s="5" t="inlineStr"/>
      <c r="D49" s="5" t="inlineStr">
        <is>
          <t>High</t>
        </is>
      </c>
      <c r="E49" s="5" t="inlineStr">
        <is>
          <t>GCS commands</t>
        </is>
      </c>
      <c r="F49" s="5" t="inlineStr"/>
      <c r="G49" s="5" t="inlineStr"/>
      <c r="H49" s="5" t="inlineStr"/>
    </row>
    <row r="50">
      <c r="A50" s="5" t="inlineStr">
        <is>
          <t>RTL Mode</t>
        </is>
      </c>
      <c r="B50" s="5" t="inlineStr">
        <is>
          <t>✓</t>
        </is>
      </c>
      <c r="C50" s="5" t="inlineStr"/>
      <c r="D50" s="5" t="inlineStr">
        <is>
          <t>Critical</t>
        </is>
      </c>
      <c r="E50" s="5" t="inlineStr">
        <is>
          <t>Return home</t>
        </is>
      </c>
      <c r="F50" s="5" t="inlineStr"/>
      <c r="G50" s="5" t="inlineStr"/>
      <c r="H50" s="5" t="inlineStr"/>
    </row>
    <row r="51">
      <c r="A51" s="5" t="inlineStr">
        <is>
          <t>Steering Mode</t>
        </is>
      </c>
      <c r="B51" s="5" t="inlineStr">
        <is>
          <t>✓</t>
        </is>
      </c>
      <c r="C51" s="5" t="inlineStr"/>
      <c r="D51" s="5" t="inlineStr">
        <is>
          <t>High</t>
        </is>
      </c>
      <c r="E51" s="5" t="inlineStr">
        <is>
          <t>Rover-specific</t>
        </is>
      </c>
      <c r="F51" s="5" t="inlineStr"/>
      <c r="G51" s="5" t="inlineStr"/>
      <c r="H51" s="5" t="inlineStr"/>
    </row>
    <row r="54">
      <c r="A54" s="6" t="inlineStr">
        <is>
          <t>COMPLETION STATISTICS</t>
        </is>
      </c>
    </row>
    <row r="55">
      <c r="A55" s="7" t="inlineStr">
        <is>
          <t>Total Components:</t>
        </is>
      </c>
      <c r="B55">
        <f>COUNTIF(C:C,"✓")</f>
        <v/>
      </c>
      <c r="C55" t="inlineStr">
        <is>
          <t>/ 547</t>
        </is>
      </c>
    </row>
    <row r="56">
      <c r="A56" s="7" t="inlineStr">
        <is>
          <t>Percentage Complete:</t>
        </is>
      </c>
      <c r="B56" s="8">
        <f>COUNTIF(C:C,"✓")/547*100</f>
        <v/>
      </c>
    </row>
    <row r="58">
      <c r="A58" s="7" t="inlineStr">
        <is>
          <t>Critical Items Done:</t>
        </is>
      </c>
      <c r="B58">
        <f>COUNTIFS(C:C,"✓",D:D,"Critical")</f>
        <v/>
      </c>
      <c r="C58" t="inlineStr">
        <is>
          <t>/ 120</t>
        </is>
      </c>
    </row>
    <row r="59">
      <c r="A59" s="7" t="inlineStr">
        <is>
          <t>High Priority Done:</t>
        </is>
      </c>
      <c r="B59">
        <f>COUNTIFS(C:C,"✓",D:D,"High")</f>
        <v/>
      </c>
      <c r="C59" t="inlineStr">
        <is>
          <t>/ 210</t>
        </is>
      </c>
    </row>
  </sheetData>
  <mergeCells count="7">
    <mergeCell ref="A12:H12"/>
    <mergeCell ref="A1:H1"/>
    <mergeCell ref="A24:H24"/>
    <mergeCell ref="A2:H2"/>
    <mergeCell ref="A42:H42"/>
    <mergeCell ref="A33:H33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2025-11-02T08:48:03Z</dcterms:created>
  <dcterms:modified xmlns:dcterms="http://purl.org/dc/terms/" xmlns:xsi="http://www.w3.org/2001/XMLSchema-instance" xsi:type="dcterms:W3CDTF">2025-11-02T08:48:03Z</dcterms:modified>
</cp:coreProperties>
</file>